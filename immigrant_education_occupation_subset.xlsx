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earellano/Projects_UNF/Education–Occupation Mismatch Among Immigrants in Canada/"/>
    </mc:Choice>
  </mc:AlternateContent>
  <xr:revisionPtr revIDLastSave="0" documentId="13_ncr:9_{28FD4B3A-F111-1244-81CA-20E8ED00ED69}" xr6:coauthVersionLast="47" xr6:coauthVersionMax="47" xr10:uidLastSave="{00000000-0000-0000-0000-000000000000}"/>
  <bookViews>
    <workbookView xWindow="380" yWindow="600" windowWidth="28040" windowHeight="15900" xr2:uid="{4B53109B-62A4-C846-9B01-9589E339415D}"/>
  </bookViews>
  <sheets>
    <sheet name="Sheet1" sheetId="2" r:id="rId1"/>
    <sheet name="immigrant_education_occupation_" sheetId="1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D15" i="2"/>
</calcChain>
</file>

<file path=xl/sharedStrings.xml><?xml version="1.0" encoding="utf-8"?>
<sst xmlns="http://schemas.openxmlformats.org/spreadsheetml/2006/main" count="534" uniqueCount="45">
  <si>
    <t>REF_DATE</t>
  </si>
  <si>
    <t>GEO</t>
  </si>
  <si>
    <t>Education</t>
  </si>
  <si>
    <t>Age</t>
  </si>
  <si>
    <t>Gender</t>
  </si>
  <si>
    <t>Statistic</t>
  </si>
  <si>
    <t>TEER</t>
  </si>
  <si>
    <t>Immigrant_Status</t>
  </si>
  <si>
    <t>Value</t>
  </si>
  <si>
    <t>Canada</t>
  </si>
  <si>
    <t>Bachelor‚Äôs degree or higher</t>
  </si>
  <si>
    <t>25 to 64 years</t>
  </si>
  <si>
    <t>Total - Gender</t>
  </si>
  <si>
    <t>Count</t>
  </si>
  <si>
    <t>All TEER categories</t>
  </si>
  <si>
    <t>Non-immigrants</t>
  </si>
  <si>
    <t>Immigrants</t>
  </si>
  <si>
    <t>Immigrants 2011 to 2021</t>
  </si>
  <si>
    <t>Immigrants 2016 to 2021</t>
  </si>
  <si>
    <t>Non-permanent residents</t>
  </si>
  <si>
    <t>TEER 0 management occupations</t>
  </si>
  <si>
    <t>TEER 1 professional occupations</t>
  </si>
  <si>
    <t>TEER 2 occupations</t>
  </si>
  <si>
    <t>TEER 3 occupations</t>
  </si>
  <si>
    <t>TEER 4 occupations</t>
  </si>
  <si>
    <t>TEER 5 occupations</t>
  </si>
  <si>
    <t>Ontario</t>
  </si>
  <si>
    <t>Sum of Value</t>
  </si>
  <si>
    <t>Row Labels</t>
  </si>
  <si>
    <t>Grand Total</t>
  </si>
  <si>
    <t>Column Labels</t>
  </si>
  <si>
    <t>TEER 0</t>
  </si>
  <si>
    <t>TEER 1</t>
  </si>
  <si>
    <t>TEER 4</t>
  </si>
  <si>
    <t>TEER 5</t>
  </si>
  <si>
    <t>ALL CATEGORIES</t>
  </si>
  <si>
    <t>PERCENTAGE</t>
  </si>
  <si>
    <t>CATEGORY</t>
  </si>
  <si>
    <t>GROUP</t>
  </si>
  <si>
    <t>TEER 0 Y TEER 1</t>
  </si>
  <si>
    <t>TEER 4 Y TEER 5</t>
  </si>
  <si>
    <t>Group Non-immigrants</t>
  </si>
  <si>
    <t>Aligned occupations</t>
  </si>
  <si>
    <t>Possible mismatch occupations</t>
  </si>
  <si>
    <t>TEER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</si>
</sst>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43" fontId="0" fillId="0" borderId="0" xfId="0" applyNumberFormat="1"/>
    <xf numFmtId="43" fontId="0" fillId="33" borderId="0" xfId="0" applyNumberFormat="1" applyFill="1"/>
    <xf numFmtId="0" fontId="0" fillId="0" borderId="10" xfId="0" applyBorder="1"/>
    <xf numFmtId="9" fontId="0" fillId="0" borderId="10" xfId="0" applyNumberFormat="1" applyBorder="1"/>
    <xf numFmtId="10" fontId="0" fillId="0" borderId="10" xfId="0" applyNumberFormat="1" applyBorder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92.771360763887" createdVersion="8" refreshedVersion="8" minRefreshableVersion="3" recordCount="70" xr:uid="{56145F92-0D23-C649-8B1B-A7D18A9550F3}">
  <cacheSource type="worksheet">
    <worksheetSource ref="A1:I71" sheet="immigrant_education_occupation_"/>
  </cacheSource>
  <cacheFields count="9">
    <cacheField name="REF_DATE" numFmtId="0">
      <sharedItems containsSemiMixedTypes="0" containsString="0" containsNumber="1" containsInteger="1" minValue="2021" maxValue="2021"/>
    </cacheField>
    <cacheField name="GEO" numFmtId="0">
      <sharedItems count="2">
        <s v="Canada"/>
        <s v="Ontario"/>
      </sharedItems>
    </cacheField>
    <cacheField name="Education" numFmtId="0">
      <sharedItems/>
    </cacheField>
    <cacheField name="Age" numFmtId="0">
      <sharedItems/>
    </cacheField>
    <cacheField name="Gender" numFmtId="0">
      <sharedItems/>
    </cacheField>
    <cacheField name="Statistic" numFmtId="0">
      <sharedItems/>
    </cacheField>
    <cacheField name="TEER" numFmtId="0">
      <sharedItems count="7">
        <s v="All TEER categories"/>
        <s v="TEER 0 management occupations"/>
        <s v="TEER 1 professional occupations"/>
        <s v="TEER 2 occupations"/>
        <s v="TEER 3 occupations"/>
        <s v="TEER 4 occupations"/>
        <s v="TEER 5 occupations"/>
      </sharedItems>
    </cacheField>
    <cacheField name="Immigrant_Status" numFmtId="0">
      <sharedItems count="5">
        <s v="Non-immigrants"/>
        <s v="Immigrants"/>
        <s v="Immigrants 2011 to 2021"/>
        <s v="Immigrants 2016 to 2021"/>
        <s v="Non-permanent residents"/>
      </sharedItems>
    </cacheField>
    <cacheField name="Value" numFmtId="0">
      <sharedItems containsSemiMixedTypes="0" containsString="0" containsNumber="1" containsInteger="1" minValue="10515" maxValue="33474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n v="2021"/>
    <x v="0"/>
    <s v="Bachelor‚Äôs degree or higher"/>
    <s v="25 to 64 years"/>
    <s v="Total - Gender"/>
    <s v="Count"/>
    <x v="0"/>
    <x v="0"/>
    <n v="3347430"/>
  </r>
  <r>
    <n v="2021"/>
    <x v="0"/>
    <s v="Bachelor‚Äôs degree or higher"/>
    <s v="25 to 64 years"/>
    <s v="Total - Gender"/>
    <s v="Count"/>
    <x v="0"/>
    <x v="1"/>
    <n v="2176625"/>
  </r>
  <r>
    <n v="2021"/>
    <x v="0"/>
    <s v="Bachelor‚Äôs degree or higher"/>
    <s v="25 to 64 years"/>
    <s v="Total - Gender"/>
    <s v="Count"/>
    <x v="0"/>
    <x v="2"/>
    <n v="837135"/>
  </r>
  <r>
    <n v="2021"/>
    <x v="0"/>
    <s v="Bachelor‚Äôs degree or higher"/>
    <s v="25 to 64 years"/>
    <s v="Total - Gender"/>
    <s v="Count"/>
    <x v="0"/>
    <x v="3"/>
    <n v="472675"/>
  </r>
  <r>
    <n v="2021"/>
    <x v="0"/>
    <s v="Bachelor‚Äôs degree or higher"/>
    <s v="25 to 64 years"/>
    <s v="Total - Gender"/>
    <s v="Count"/>
    <x v="0"/>
    <x v="4"/>
    <n v="291780"/>
  </r>
  <r>
    <n v="2021"/>
    <x v="0"/>
    <s v="Bachelor‚Äôs degree or higher"/>
    <s v="25 to 64 years"/>
    <s v="Total - Gender"/>
    <s v="Count"/>
    <x v="1"/>
    <x v="0"/>
    <n v="574740"/>
  </r>
  <r>
    <n v="2021"/>
    <x v="0"/>
    <s v="Bachelor‚Äôs degree or higher"/>
    <s v="25 to 64 years"/>
    <s v="Total - Gender"/>
    <s v="Count"/>
    <x v="1"/>
    <x v="1"/>
    <n v="298590"/>
  </r>
  <r>
    <n v="2021"/>
    <x v="0"/>
    <s v="Bachelor‚Äôs degree or higher"/>
    <s v="25 to 64 years"/>
    <s v="Total - Gender"/>
    <s v="Count"/>
    <x v="1"/>
    <x v="2"/>
    <n v="99460"/>
  </r>
  <r>
    <n v="2021"/>
    <x v="0"/>
    <s v="Bachelor‚Äôs degree or higher"/>
    <s v="25 to 64 years"/>
    <s v="Total - Gender"/>
    <s v="Count"/>
    <x v="1"/>
    <x v="3"/>
    <n v="55165"/>
  </r>
  <r>
    <n v="2021"/>
    <x v="0"/>
    <s v="Bachelor‚Äôs degree or higher"/>
    <s v="25 to 64 years"/>
    <s v="Total - Gender"/>
    <s v="Count"/>
    <x v="1"/>
    <x v="4"/>
    <n v="25980"/>
  </r>
  <r>
    <n v="2021"/>
    <x v="0"/>
    <s v="Bachelor‚Äôs degree or higher"/>
    <s v="25 to 64 years"/>
    <s v="Total - Gender"/>
    <s v="Count"/>
    <x v="2"/>
    <x v="0"/>
    <n v="1809215"/>
  </r>
  <r>
    <n v="2021"/>
    <x v="0"/>
    <s v="Bachelor‚Äôs degree or higher"/>
    <s v="25 to 64 years"/>
    <s v="Total - Gender"/>
    <s v="Count"/>
    <x v="2"/>
    <x v="1"/>
    <n v="884265"/>
  </r>
  <r>
    <n v="2021"/>
    <x v="0"/>
    <s v="Bachelor‚Äôs degree or higher"/>
    <s v="25 to 64 years"/>
    <s v="Total - Gender"/>
    <s v="Count"/>
    <x v="2"/>
    <x v="2"/>
    <n v="301590"/>
  </r>
  <r>
    <n v="2021"/>
    <x v="0"/>
    <s v="Bachelor‚Äôs degree or higher"/>
    <s v="25 to 64 years"/>
    <s v="Total - Gender"/>
    <s v="Count"/>
    <x v="2"/>
    <x v="3"/>
    <n v="175195"/>
  </r>
  <r>
    <n v="2021"/>
    <x v="0"/>
    <s v="Bachelor‚Äôs degree or higher"/>
    <s v="25 to 64 years"/>
    <s v="Total - Gender"/>
    <s v="Count"/>
    <x v="2"/>
    <x v="4"/>
    <n v="98665"/>
  </r>
  <r>
    <n v="2021"/>
    <x v="0"/>
    <s v="Bachelor‚Äôs degree or higher"/>
    <s v="25 to 64 years"/>
    <s v="Total - Gender"/>
    <s v="Count"/>
    <x v="3"/>
    <x v="0"/>
    <n v="413790"/>
  </r>
  <r>
    <n v="2021"/>
    <x v="0"/>
    <s v="Bachelor‚Äôs degree or higher"/>
    <s v="25 to 64 years"/>
    <s v="Total - Gender"/>
    <s v="Count"/>
    <x v="3"/>
    <x v="1"/>
    <n v="324810"/>
  </r>
  <r>
    <n v="2021"/>
    <x v="0"/>
    <s v="Bachelor‚Äôs degree or higher"/>
    <s v="25 to 64 years"/>
    <s v="Total - Gender"/>
    <s v="Count"/>
    <x v="3"/>
    <x v="2"/>
    <n v="131085"/>
  </r>
  <r>
    <n v="2021"/>
    <x v="0"/>
    <s v="Bachelor‚Äôs degree or higher"/>
    <s v="25 to 64 years"/>
    <s v="Total - Gender"/>
    <s v="Count"/>
    <x v="3"/>
    <x v="3"/>
    <n v="71430"/>
  </r>
  <r>
    <n v="2021"/>
    <x v="0"/>
    <s v="Bachelor‚Äôs degree or higher"/>
    <s v="25 to 64 years"/>
    <s v="Total - Gender"/>
    <s v="Count"/>
    <x v="3"/>
    <x v="4"/>
    <n v="49295"/>
  </r>
  <r>
    <n v="2021"/>
    <x v="0"/>
    <s v="Bachelor‚Äôs degree or higher"/>
    <s v="25 to 64 years"/>
    <s v="Total - Gender"/>
    <s v="Count"/>
    <x v="4"/>
    <x v="0"/>
    <n v="256275"/>
  </r>
  <r>
    <n v="2021"/>
    <x v="0"/>
    <s v="Bachelor‚Äôs degree or higher"/>
    <s v="25 to 64 years"/>
    <s v="Total - Gender"/>
    <s v="Count"/>
    <x v="4"/>
    <x v="1"/>
    <n v="280060"/>
  </r>
  <r>
    <n v="2021"/>
    <x v="0"/>
    <s v="Bachelor‚Äôs degree or higher"/>
    <s v="25 to 64 years"/>
    <s v="Total - Gender"/>
    <s v="Count"/>
    <x v="4"/>
    <x v="2"/>
    <n v="120410"/>
  </r>
  <r>
    <n v="2021"/>
    <x v="0"/>
    <s v="Bachelor‚Äôs degree or higher"/>
    <s v="25 to 64 years"/>
    <s v="Total - Gender"/>
    <s v="Count"/>
    <x v="4"/>
    <x v="3"/>
    <n v="63915"/>
  </r>
  <r>
    <n v="2021"/>
    <x v="0"/>
    <s v="Bachelor‚Äôs degree or higher"/>
    <s v="25 to 64 years"/>
    <s v="Total - Gender"/>
    <s v="Count"/>
    <x v="4"/>
    <x v="4"/>
    <n v="39345"/>
  </r>
  <r>
    <n v="2021"/>
    <x v="0"/>
    <s v="Bachelor‚Äôs degree or higher"/>
    <s v="25 to 64 years"/>
    <s v="Total - Gender"/>
    <s v="Count"/>
    <x v="5"/>
    <x v="0"/>
    <n v="215960"/>
  </r>
  <r>
    <n v="2021"/>
    <x v="0"/>
    <s v="Bachelor‚Äôs degree or higher"/>
    <s v="25 to 64 years"/>
    <s v="Total - Gender"/>
    <s v="Count"/>
    <x v="5"/>
    <x v="1"/>
    <n v="240465"/>
  </r>
  <r>
    <n v="2021"/>
    <x v="0"/>
    <s v="Bachelor‚Äôs degree or higher"/>
    <s v="25 to 64 years"/>
    <s v="Total - Gender"/>
    <s v="Count"/>
    <x v="5"/>
    <x v="2"/>
    <n v="108340"/>
  </r>
  <r>
    <n v="2021"/>
    <x v="0"/>
    <s v="Bachelor‚Äôs degree or higher"/>
    <s v="25 to 64 years"/>
    <s v="Total - Gender"/>
    <s v="Count"/>
    <x v="5"/>
    <x v="3"/>
    <n v="62585"/>
  </r>
  <r>
    <n v="2021"/>
    <x v="0"/>
    <s v="Bachelor‚Äôs degree or higher"/>
    <s v="25 to 64 years"/>
    <s v="Total - Gender"/>
    <s v="Count"/>
    <x v="5"/>
    <x v="4"/>
    <n v="39330"/>
  </r>
  <r>
    <n v="2021"/>
    <x v="0"/>
    <s v="Bachelor‚Äôs degree or higher"/>
    <s v="25 to 64 years"/>
    <s v="Total - Gender"/>
    <s v="Count"/>
    <x v="6"/>
    <x v="0"/>
    <n v="77450"/>
  </r>
  <r>
    <n v="2021"/>
    <x v="0"/>
    <s v="Bachelor‚Äôs degree or higher"/>
    <s v="25 to 64 years"/>
    <s v="Total - Gender"/>
    <s v="Count"/>
    <x v="6"/>
    <x v="1"/>
    <n v="148435"/>
  </r>
  <r>
    <n v="2021"/>
    <x v="0"/>
    <s v="Bachelor‚Äôs degree or higher"/>
    <s v="25 to 64 years"/>
    <s v="Total - Gender"/>
    <s v="Count"/>
    <x v="6"/>
    <x v="2"/>
    <n v="76255"/>
  </r>
  <r>
    <n v="2021"/>
    <x v="0"/>
    <s v="Bachelor‚Äôs degree or higher"/>
    <s v="25 to 64 years"/>
    <s v="Total - Gender"/>
    <s v="Count"/>
    <x v="6"/>
    <x v="3"/>
    <n v="44390"/>
  </r>
  <r>
    <n v="2021"/>
    <x v="0"/>
    <s v="Bachelor‚Äôs degree or higher"/>
    <s v="25 to 64 years"/>
    <s v="Total - Gender"/>
    <s v="Count"/>
    <x v="6"/>
    <x v="4"/>
    <n v="39170"/>
  </r>
  <r>
    <n v="2021"/>
    <x v="1"/>
    <s v="Bachelor‚Äôs degree or higher"/>
    <s v="25 to 64 years"/>
    <s v="Total - Gender"/>
    <s v="Count"/>
    <x v="0"/>
    <x v="0"/>
    <n v="1299505"/>
  </r>
  <r>
    <n v="2021"/>
    <x v="1"/>
    <s v="Bachelor‚Äôs degree or higher"/>
    <s v="25 to 64 years"/>
    <s v="Total - Gender"/>
    <s v="Count"/>
    <x v="0"/>
    <x v="1"/>
    <n v="1083140"/>
  </r>
  <r>
    <n v="2021"/>
    <x v="1"/>
    <s v="Bachelor‚Äôs degree or higher"/>
    <s v="25 to 64 years"/>
    <s v="Total - Gender"/>
    <s v="Count"/>
    <x v="0"/>
    <x v="2"/>
    <n v="366650"/>
  </r>
  <r>
    <n v="2021"/>
    <x v="1"/>
    <s v="Bachelor‚Äôs degree or higher"/>
    <s v="25 to 64 years"/>
    <s v="Total - Gender"/>
    <s v="Count"/>
    <x v="0"/>
    <x v="3"/>
    <n v="218465"/>
  </r>
  <r>
    <n v="2021"/>
    <x v="1"/>
    <s v="Bachelor‚Äôs degree or higher"/>
    <s v="25 to 64 years"/>
    <s v="Total - Gender"/>
    <s v="Count"/>
    <x v="0"/>
    <x v="4"/>
    <n v="120770"/>
  </r>
  <r>
    <n v="2021"/>
    <x v="1"/>
    <s v="Bachelor‚Äôs degree or higher"/>
    <s v="25 to 64 years"/>
    <s v="Total - Gender"/>
    <s v="Count"/>
    <x v="1"/>
    <x v="0"/>
    <n v="238870"/>
  </r>
  <r>
    <n v="2021"/>
    <x v="1"/>
    <s v="Bachelor‚Äôs degree or higher"/>
    <s v="25 to 64 years"/>
    <s v="Total - Gender"/>
    <s v="Count"/>
    <x v="1"/>
    <x v="1"/>
    <n v="159540"/>
  </r>
  <r>
    <n v="2021"/>
    <x v="1"/>
    <s v="Bachelor‚Äôs degree or higher"/>
    <s v="25 to 64 years"/>
    <s v="Total - Gender"/>
    <s v="Count"/>
    <x v="1"/>
    <x v="2"/>
    <n v="47470"/>
  </r>
  <r>
    <n v="2021"/>
    <x v="1"/>
    <s v="Bachelor‚Äôs degree or higher"/>
    <s v="25 to 64 years"/>
    <s v="Total - Gender"/>
    <s v="Count"/>
    <x v="1"/>
    <x v="3"/>
    <n v="27710"/>
  </r>
  <r>
    <n v="2021"/>
    <x v="1"/>
    <s v="Bachelor‚Äôs degree or higher"/>
    <s v="25 to 64 years"/>
    <s v="Total - Gender"/>
    <s v="Count"/>
    <x v="1"/>
    <x v="4"/>
    <n v="10515"/>
  </r>
  <r>
    <n v="2021"/>
    <x v="1"/>
    <s v="Bachelor‚Äôs degree or higher"/>
    <s v="25 to 64 years"/>
    <s v="Total - Gender"/>
    <s v="Count"/>
    <x v="2"/>
    <x v="0"/>
    <n v="666785"/>
  </r>
  <r>
    <n v="2021"/>
    <x v="1"/>
    <s v="Bachelor‚Äôs degree or higher"/>
    <s v="25 to 64 years"/>
    <s v="Total - Gender"/>
    <s v="Count"/>
    <x v="2"/>
    <x v="1"/>
    <n v="466535"/>
  </r>
  <r>
    <n v="2021"/>
    <x v="1"/>
    <s v="Bachelor‚Äôs degree or higher"/>
    <s v="25 to 64 years"/>
    <s v="Total - Gender"/>
    <s v="Count"/>
    <x v="2"/>
    <x v="2"/>
    <n v="149585"/>
  </r>
  <r>
    <n v="2021"/>
    <x v="1"/>
    <s v="Bachelor‚Äôs degree or higher"/>
    <s v="25 to 64 years"/>
    <s v="Total - Gender"/>
    <s v="Count"/>
    <x v="2"/>
    <x v="3"/>
    <n v="93055"/>
  </r>
  <r>
    <n v="2021"/>
    <x v="1"/>
    <s v="Bachelor‚Äôs degree or higher"/>
    <s v="25 to 64 years"/>
    <s v="Total - Gender"/>
    <s v="Count"/>
    <x v="2"/>
    <x v="4"/>
    <n v="41235"/>
  </r>
  <r>
    <n v="2021"/>
    <x v="1"/>
    <s v="Bachelor‚Äôs degree or higher"/>
    <s v="25 to 64 years"/>
    <s v="Total - Gender"/>
    <s v="Count"/>
    <x v="3"/>
    <x v="0"/>
    <n v="165130"/>
  </r>
  <r>
    <n v="2021"/>
    <x v="1"/>
    <s v="Bachelor‚Äôs degree or higher"/>
    <s v="25 to 64 years"/>
    <s v="Total - Gender"/>
    <s v="Count"/>
    <x v="3"/>
    <x v="1"/>
    <n v="148975"/>
  </r>
  <r>
    <n v="2021"/>
    <x v="1"/>
    <s v="Bachelor‚Äôs degree or higher"/>
    <s v="25 to 64 years"/>
    <s v="Total - Gender"/>
    <s v="Count"/>
    <x v="3"/>
    <x v="2"/>
    <n v="50000"/>
  </r>
  <r>
    <n v="2021"/>
    <x v="1"/>
    <s v="Bachelor‚Äôs degree or higher"/>
    <s v="25 to 64 years"/>
    <s v="Total - Gender"/>
    <s v="Count"/>
    <x v="3"/>
    <x v="3"/>
    <n v="28860"/>
  </r>
  <r>
    <n v="2021"/>
    <x v="1"/>
    <s v="Bachelor‚Äôs degree or higher"/>
    <s v="25 to 64 years"/>
    <s v="Total - Gender"/>
    <s v="Count"/>
    <x v="3"/>
    <x v="4"/>
    <n v="19960"/>
  </r>
  <r>
    <n v="2021"/>
    <x v="1"/>
    <s v="Bachelor‚Äôs degree or higher"/>
    <s v="25 to 64 years"/>
    <s v="Total - Gender"/>
    <s v="Count"/>
    <x v="4"/>
    <x v="0"/>
    <n v="104150"/>
  </r>
  <r>
    <n v="2021"/>
    <x v="1"/>
    <s v="Bachelor‚Äôs degree or higher"/>
    <s v="25 to 64 years"/>
    <s v="Total - Gender"/>
    <s v="Count"/>
    <x v="4"/>
    <x v="1"/>
    <n v="128295"/>
  </r>
  <r>
    <n v="2021"/>
    <x v="1"/>
    <s v="Bachelor‚Äôs degree or higher"/>
    <s v="25 to 64 years"/>
    <s v="Total - Gender"/>
    <s v="Count"/>
    <x v="4"/>
    <x v="2"/>
    <n v="46745"/>
  </r>
  <r>
    <n v="2021"/>
    <x v="1"/>
    <s v="Bachelor‚Äôs degree or higher"/>
    <s v="25 to 64 years"/>
    <s v="Total - Gender"/>
    <s v="Count"/>
    <x v="4"/>
    <x v="3"/>
    <n v="25420"/>
  </r>
  <r>
    <n v="2021"/>
    <x v="1"/>
    <s v="Bachelor‚Äôs degree or higher"/>
    <s v="25 to 64 years"/>
    <s v="Total - Gender"/>
    <s v="Count"/>
    <x v="4"/>
    <x v="4"/>
    <n v="15785"/>
  </r>
  <r>
    <n v="2021"/>
    <x v="1"/>
    <s v="Bachelor‚Äôs degree or higher"/>
    <s v="25 to 64 years"/>
    <s v="Total - Gender"/>
    <s v="Count"/>
    <x v="5"/>
    <x v="0"/>
    <n v="91560"/>
  </r>
  <r>
    <n v="2021"/>
    <x v="1"/>
    <s v="Bachelor‚Äôs degree or higher"/>
    <s v="25 to 64 years"/>
    <s v="Total - Gender"/>
    <s v="Count"/>
    <x v="5"/>
    <x v="1"/>
    <n v="114910"/>
  </r>
  <r>
    <n v="2021"/>
    <x v="1"/>
    <s v="Bachelor‚Äôs degree or higher"/>
    <s v="25 to 64 years"/>
    <s v="Total - Gender"/>
    <s v="Count"/>
    <x v="5"/>
    <x v="2"/>
    <n v="44085"/>
  </r>
  <r>
    <n v="2021"/>
    <x v="1"/>
    <s v="Bachelor‚Äôs degree or higher"/>
    <s v="25 to 64 years"/>
    <s v="Total - Gender"/>
    <s v="Count"/>
    <x v="5"/>
    <x v="3"/>
    <n v="26345"/>
  </r>
  <r>
    <n v="2021"/>
    <x v="1"/>
    <s v="Bachelor‚Äôs degree or higher"/>
    <s v="25 to 64 years"/>
    <s v="Total - Gender"/>
    <s v="Count"/>
    <x v="5"/>
    <x v="4"/>
    <n v="16780"/>
  </r>
  <r>
    <n v="2021"/>
    <x v="1"/>
    <s v="Bachelor‚Äôs degree or higher"/>
    <s v="25 to 64 years"/>
    <s v="Total - Gender"/>
    <s v="Count"/>
    <x v="6"/>
    <x v="0"/>
    <n v="33015"/>
  </r>
  <r>
    <n v="2021"/>
    <x v="1"/>
    <s v="Bachelor‚Äôs degree or higher"/>
    <s v="25 to 64 years"/>
    <s v="Total - Gender"/>
    <s v="Count"/>
    <x v="6"/>
    <x v="1"/>
    <n v="64885"/>
  </r>
  <r>
    <n v="2021"/>
    <x v="1"/>
    <s v="Bachelor‚Äôs degree or higher"/>
    <s v="25 to 64 years"/>
    <s v="Total - Gender"/>
    <s v="Count"/>
    <x v="6"/>
    <x v="2"/>
    <n v="28770"/>
  </r>
  <r>
    <n v="2021"/>
    <x v="1"/>
    <s v="Bachelor‚Äôs degree or higher"/>
    <s v="25 to 64 years"/>
    <s v="Total - Gender"/>
    <s v="Count"/>
    <x v="6"/>
    <x v="3"/>
    <n v="17075"/>
  </r>
  <r>
    <n v="2021"/>
    <x v="1"/>
    <s v="Bachelor‚Äôs degree or higher"/>
    <s v="25 to 64 years"/>
    <s v="Total - Gender"/>
    <s v="Count"/>
    <x v="6"/>
    <x v="4"/>
    <n v="164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F8822-920A-7344-A71A-0080E4E243B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2" firstHeaderRow="1" firstDataRow="2" firstDataCol="1" rowPageCount="1" colPageCount="1"/>
  <pivotFields count="9">
    <pivotField showAll="0"/>
    <pivotField axis="axisPage" multipleItemSelectionAllowed="1"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6">
        <item x="1"/>
        <item x="2"/>
        <item x="3"/>
        <item x="0"/>
        <item x="4"/>
        <item t="default"/>
      </items>
    </pivotField>
    <pivotField dataField="1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" hier="-1"/>
  </pageFields>
  <dataFields count="1">
    <dataField name="Sum of Value" fld="8" baseField="0" baseItem="0" numFmtId="43"/>
  </dataFields>
  <formats count="5">
    <format dxfId="4">
      <pivotArea outline="0" collapsedLevelsAreSubtotals="1" fieldPosition="0"/>
    </format>
    <format dxfId="3">
      <pivotArea collapsedLevelsAreSubtotals="1" fieldPosition="0">
        <references count="2">
          <reference field="6" count="1">
            <x v="1"/>
          </reference>
          <reference field="7" count="1" selected="0">
            <x v="3"/>
          </reference>
        </references>
      </pivotArea>
    </format>
    <format dxfId="2">
      <pivotArea collapsedLevelsAreSubtotals="1" fieldPosition="0">
        <references count="2">
          <reference field="6" count="1">
            <x v="2"/>
          </reference>
          <reference field="7" count="1" selected="0">
            <x v="3"/>
          </reference>
        </references>
      </pivotArea>
    </format>
    <format dxfId="1">
      <pivotArea collapsedLevelsAreSubtotals="1" fieldPosition="0">
        <references count="2">
          <reference field="6" count="1">
            <x v="5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2">
          <reference field="6" count="1">
            <x v="6"/>
          </reference>
          <reference field="7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D1C8E-72C8-F946-96A5-DD0C6994218D}">
  <dimension ref="A1:G23"/>
  <sheetViews>
    <sheetView tabSelected="1" workbookViewId="0">
      <selection activeCell="E26" sqref="E26"/>
    </sheetView>
  </sheetViews>
  <sheetFormatPr baseColWidth="10" defaultRowHeight="16" x14ac:dyDescent="0.2"/>
  <cols>
    <col min="1" max="1" width="28.1640625" bestFit="1" customWidth="1"/>
    <col min="2" max="2" width="16.1640625" bestFit="1" customWidth="1"/>
    <col min="3" max="4" width="22" bestFit="1" customWidth="1"/>
    <col min="5" max="5" width="15" bestFit="1" customWidth="1"/>
    <col min="6" max="6" width="22.83203125" bestFit="1" customWidth="1"/>
    <col min="7" max="7" width="14" bestFit="1" customWidth="1"/>
    <col min="8" max="8" width="30.83203125" bestFit="1" customWidth="1"/>
    <col min="9" max="10" width="21.83203125" bestFit="1" customWidth="1"/>
    <col min="11" max="11" width="14.83203125" bestFit="1" customWidth="1"/>
    <col min="12" max="12" width="22.6640625" bestFit="1" customWidth="1"/>
    <col min="13" max="13" width="33.33203125" bestFit="1" customWidth="1"/>
    <col min="14" max="14" width="30.1640625" bestFit="1" customWidth="1"/>
    <col min="15" max="16" width="21.83203125" bestFit="1" customWidth="1"/>
    <col min="17" max="17" width="14.83203125" bestFit="1" customWidth="1"/>
    <col min="18" max="18" width="22.6640625" bestFit="1" customWidth="1"/>
    <col min="19" max="19" width="32.6640625" bestFit="1" customWidth="1"/>
    <col min="20" max="20" width="19.1640625" bestFit="1" customWidth="1"/>
    <col min="21" max="22" width="21.83203125" bestFit="1" customWidth="1"/>
    <col min="23" max="23" width="14.83203125" bestFit="1" customWidth="1"/>
    <col min="24" max="24" width="22.6640625" bestFit="1" customWidth="1"/>
    <col min="25" max="25" width="21.6640625" bestFit="1" customWidth="1"/>
    <col min="26" max="26" width="19.1640625" bestFit="1" customWidth="1"/>
    <col min="27" max="28" width="21.83203125" bestFit="1" customWidth="1"/>
    <col min="29" max="29" width="14.83203125" bestFit="1" customWidth="1"/>
    <col min="30" max="30" width="22.6640625" bestFit="1" customWidth="1"/>
    <col min="31" max="31" width="21.6640625" bestFit="1" customWidth="1"/>
    <col min="32" max="32" width="19.1640625" bestFit="1" customWidth="1"/>
    <col min="33" max="34" width="21.83203125" bestFit="1" customWidth="1"/>
    <col min="35" max="35" width="14.83203125" bestFit="1" customWidth="1"/>
    <col min="36" max="36" width="22.6640625" bestFit="1" customWidth="1"/>
    <col min="37" max="37" width="21.6640625" bestFit="1" customWidth="1"/>
    <col min="38" max="38" width="19.1640625" bestFit="1" customWidth="1"/>
    <col min="39" max="40" width="21.83203125" bestFit="1" customWidth="1"/>
    <col min="41" max="41" width="14.83203125" bestFit="1" customWidth="1"/>
    <col min="42" max="42" width="22.6640625" bestFit="1" customWidth="1"/>
    <col min="43" max="43" width="21.6640625" bestFit="1" customWidth="1"/>
    <col min="44" max="44" width="10.5" bestFit="1" customWidth="1"/>
  </cols>
  <sheetData>
    <row r="1" spans="1:7" x14ac:dyDescent="0.2">
      <c r="A1" s="1" t="s">
        <v>1</v>
      </c>
      <c r="B1" t="s">
        <v>9</v>
      </c>
    </row>
    <row r="3" spans="1:7" x14ac:dyDescent="0.2">
      <c r="A3" s="1" t="s">
        <v>27</v>
      </c>
      <c r="B3" s="1" t="s">
        <v>30</v>
      </c>
    </row>
    <row r="4" spans="1:7" x14ac:dyDescent="0.2">
      <c r="A4" s="1" t="s">
        <v>28</v>
      </c>
      <c r="B4" t="s">
        <v>16</v>
      </c>
      <c r="C4" t="s">
        <v>17</v>
      </c>
      <c r="D4" t="s">
        <v>18</v>
      </c>
      <c r="E4" t="s">
        <v>15</v>
      </c>
      <c r="F4" t="s">
        <v>19</v>
      </c>
      <c r="G4" t="s">
        <v>29</v>
      </c>
    </row>
    <row r="5" spans="1:7" x14ac:dyDescent="0.2">
      <c r="A5" s="2" t="s">
        <v>14</v>
      </c>
      <c r="B5" s="4">
        <v>2176625</v>
      </c>
      <c r="C5" s="4">
        <v>837135</v>
      </c>
      <c r="D5" s="4">
        <v>472675</v>
      </c>
      <c r="E5" s="4">
        <v>3347430</v>
      </c>
      <c r="F5" s="4">
        <v>291780</v>
      </c>
      <c r="G5" s="4">
        <v>7125645</v>
      </c>
    </row>
    <row r="6" spans="1:7" x14ac:dyDescent="0.2">
      <c r="A6" s="2" t="s">
        <v>20</v>
      </c>
      <c r="B6" s="4">
        <v>298590</v>
      </c>
      <c r="C6" s="4">
        <v>99460</v>
      </c>
      <c r="D6" s="4">
        <v>55165</v>
      </c>
      <c r="E6" s="5">
        <v>574740</v>
      </c>
      <c r="F6" s="4">
        <v>25980</v>
      </c>
      <c r="G6" s="4">
        <v>1053935</v>
      </c>
    </row>
    <row r="7" spans="1:7" x14ac:dyDescent="0.2">
      <c r="A7" s="2" t="s">
        <v>21</v>
      </c>
      <c r="B7" s="4">
        <v>884265</v>
      </c>
      <c r="C7" s="4">
        <v>301590</v>
      </c>
      <c r="D7" s="4">
        <v>175195</v>
      </c>
      <c r="E7" s="5">
        <v>1809215</v>
      </c>
      <c r="F7" s="4">
        <v>98665</v>
      </c>
      <c r="G7" s="4">
        <v>3268930</v>
      </c>
    </row>
    <row r="8" spans="1:7" x14ac:dyDescent="0.2">
      <c r="A8" s="2" t="s">
        <v>22</v>
      </c>
      <c r="B8" s="4">
        <v>324810</v>
      </c>
      <c r="C8" s="4">
        <v>131085</v>
      </c>
      <c r="D8" s="4">
        <v>71430</v>
      </c>
      <c r="E8" s="4">
        <v>413790</v>
      </c>
      <c r="F8" s="4">
        <v>49295</v>
      </c>
      <c r="G8" s="4">
        <v>990410</v>
      </c>
    </row>
    <row r="9" spans="1:7" x14ac:dyDescent="0.2">
      <c r="A9" s="2" t="s">
        <v>23</v>
      </c>
      <c r="B9" s="4">
        <v>280060</v>
      </c>
      <c r="C9" s="4">
        <v>120410</v>
      </c>
      <c r="D9" s="4">
        <v>63915</v>
      </c>
      <c r="E9" s="4">
        <v>256275</v>
      </c>
      <c r="F9" s="4">
        <v>39345</v>
      </c>
      <c r="G9" s="4">
        <v>760005</v>
      </c>
    </row>
    <row r="10" spans="1:7" x14ac:dyDescent="0.2">
      <c r="A10" s="2" t="s">
        <v>24</v>
      </c>
      <c r="B10" s="4">
        <v>240465</v>
      </c>
      <c r="C10" s="4">
        <v>108340</v>
      </c>
      <c r="D10" s="4">
        <v>62585</v>
      </c>
      <c r="E10" s="5">
        <v>215960</v>
      </c>
      <c r="F10" s="4">
        <v>39330</v>
      </c>
      <c r="G10" s="4">
        <v>666680</v>
      </c>
    </row>
    <row r="11" spans="1:7" x14ac:dyDescent="0.2">
      <c r="A11" s="2" t="s">
        <v>25</v>
      </c>
      <c r="B11" s="4">
        <v>148435</v>
      </c>
      <c r="C11" s="4">
        <v>76255</v>
      </c>
      <c r="D11" s="4">
        <v>44390</v>
      </c>
      <c r="E11" s="5">
        <v>77450</v>
      </c>
      <c r="F11" s="4">
        <v>39170</v>
      </c>
      <c r="G11" s="4">
        <v>385700</v>
      </c>
    </row>
    <row r="12" spans="1:7" x14ac:dyDescent="0.2">
      <c r="A12" s="2" t="s">
        <v>29</v>
      </c>
      <c r="B12" s="4">
        <v>4353250</v>
      </c>
      <c r="C12" s="4">
        <v>1674275</v>
      </c>
      <c r="D12" s="4">
        <v>945355</v>
      </c>
      <c r="E12" s="4">
        <v>6694860</v>
      </c>
      <c r="F12" s="4">
        <v>583565</v>
      </c>
      <c r="G12" s="4">
        <v>14251305</v>
      </c>
    </row>
    <row r="14" spans="1:7" x14ac:dyDescent="0.2">
      <c r="A14" s="2" t="s">
        <v>31</v>
      </c>
      <c r="B14" t="s">
        <v>32</v>
      </c>
      <c r="C14" t="s">
        <v>35</v>
      </c>
      <c r="D14" t="s">
        <v>36</v>
      </c>
    </row>
    <row r="15" spans="1:7" x14ac:dyDescent="0.2">
      <c r="A15" s="5">
        <v>574740</v>
      </c>
      <c r="B15" s="5">
        <v>1809215</v>
      </c>
      <c r="C15" s="4">
        <v>3347430</v>
      </c>
      <c r="D15" s="3">
        <f>SUM(A15:B15)/C15</f>
        <v>0.71217471313813885</v>
      </c>
    </row>
    <row r="16" spans="1:7" x14ac:dyDescent="0.2">
      <c r="A16" s="2"/>
    </row>
    <row r="17" spans="1:4" x14ac:dyDescent="0.2">
      <c r="A17" s="2" t="s">
        <v>33</v>
      </c>
      <c r="B17" t="s">
        <v>34</v>
      </c>
    </row>
    <row r="18" spans="1:4" x14ac:dyDescent="0.2">
      <c r="A18" s="5">
        <v>215960</v>
      </c>
      <c r="B18" s="5">
        <v>77450</v>
      </c>
      <c r="C18" s="4">
        <v>3347430</v>
      </c>
      <c r="D18" s="3">
        <f>SUM(A18:B18)/C18</f>
        <v>8.7652318345715963E-2</v>
      </c>
    </row>
    <row r="21" spans="1:4" x14ac:dyDescent="0.2">
      <c r="A21" s="6" t="s">
        <v>38</v>
      </c>
      <c r="B21" s="6" t="s">
        <v>37</v>
      </c>
      <c r="C21" s="6" t="s">
        <v>44</v>
      </c>
      <c r="D21" s="6" t="s">
        <v>36</v>
      </c>
    </row>
    <row r="22" spans="1:4" ht="34" x14ac:dyDescent="0.2">
      <c r="A22" s="6" t="s">
        <v>41</v>
      </c>
      <c r="B22" s="8" t="s">
        <v>42</v>
      </c>
      <c r="C22" s="6" t="s">
        <v>39</v>
      </c>
      <c r="D22" s="7">
        <v>0.71</v>
      </c>
    </row>
    <row r="23" spans="1:4" ht="34" x14ac:dyDescent="0.2">
      <c r="A23" s="6" t="s">
        <v>41</v>
      </c>
      <c r="B23" s="8" t="s">
        <v>43</v>
      </c>
      <c r="C23" s="6" t="s">
        <v>40</v>
      </c>
      <c r="D23" s="7">
        <v>0.09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3D0C-9382-B346-83C6-7373FF713701}">
  <dimension ref="A1:I71"/>
  <sheetViews>
    <sheetView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2021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3347430</v>
      </c>
    </row>
    <row r="3" spans="1:9" x14ac:dyDescent="0.2">
      <c r="A3">
        <v>2021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16</v>
      </c>
      <c r="I3">
        <v>2176625</v>
      </c>
    </row>
    <row r="4" spans="1:9" x14ac:dyDescent="0.2">
      <c r="A4">
        <v>2021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17</v>
      </c>
      <c r="I4">
        <v>837135</v>
      </c>
    </row>
    <row r="5" spans="1:9" x14ac:dyDescent="0.2">
      <c r="A5">
        <v>2021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18</v>
      </c>
      <c r="I5">
        <v>472675</v>
      </c>
    </row>
    <row r="6" spans="1:9" x14ac:dyDescent="0.2">
      <c r="A6">
        <v>2021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19</v>
      </c>
      <c r="I6">
        <v>291780</v>
      </c>
    </row>
    <row r="7" spans="1:9" x14ac:dyDescent="0.2">
      <c r="A7">
        <v>2021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20</v>
      </c>
      <c r="H7" t="s">
        <v>15</v>
      </c>
      <c r="I7">
        <v>574740</v>
      </c>
    </row>
    <row r="8" spans="1:9" x14ac:dyDescent="0.2">
      <c r="A8">
        <v>2021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20</v>
      </c>
      <c r="H8" t="s">
        <v>16</v>
      </c>
      <c r="I8">
        <v>298590</v>
      </c>
    </row>
    <row r="9" spans="1:9" x14ac:dyDescent="0.2">
      <c r="A9">
        <v>2021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20</v>
      </c>
      <c r="H9" t="s">
        <v>17</v>
      </c>
      <c r="I9">
        <v>99460</v>
      </c>
    </row>
    <row r="10" spans="1:9" x14ac:dyDescent="0.2">
      <c r="A10">
        <v>2021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20</v>
      </c>
      <c r="H10" t="s">
        <v>18</v>
      </c>
      <c r="I10">
        <v>55165</v>
      </c>
    </row>
    <row r="11" spans="1:9" x14ac:dyDescent="0.2">
      <c r="A11">
        <v>2021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20</v>
      </c>
      <c r="H11" t="s">
        <v>19</v>
      </c>
      <c r="I11">
        <v>25980</v>
      </c>
    </row>
    <row r="12" spans="1:9" x14ac:dyDescent="0.2">
      <c r="A12">
        <v>2021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21</v>
      </c>
      <c r="H12" t="s">
        <v>15</v>
      </c>
      <c r="I12">
        <v>1809215</v>
      </c>
    </row>
    <row r="13" spans="1:9" x14ac:dyDescent="0.2">
      <c r="A13">
        <v>2021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21</v>
      </c>
      <c r="H13" t="s">
        <v>16</v>
      </c>
      <c r="I13">
        <v>884265</v>
      </c>
    </row>
    <row r="14" spans="1:9" x14ac:dyDescent="0.2">
      <c r="A14">
        <v>2021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21</v>
      </c>
      <c r="H14" t="s">
        <v>17</v>
      </c>
      <c r="I14">
        <v>301590</v>
      </c>
    </row>
    <row r="15" spans="1:9" x14ac:dyDescent="0.2">
      <c r="A15">
        <v>2021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21</v>
      </c>
      <c r="H15" t="s">
        <v>18</v>
      </c>
      <c r="I15">
        <v>175195</v>
      </c>
    </row>
    <row r="16" spans="1:9" x14ac:dyDescent="0.2">
      <c r="A16">
        <v>2021</v>
      </c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 t="s">
        <v>21</v>
      </c>
      <c r="H16" t="s">
        <v>19</v>
      </c>
      <c r="I16">
        <v>98665</v>
      </c>
    </row>
    <row r="17" spans="1:9" x14ac:dyDescent="0.2">
      <c r="A17">
        <v>2021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22</v>
      </c>
      <c r="H17" t="s">
        <v>15</v>
      </c>
      <c r="I17">
        <v>413790</v>
      </c>
    </row>
    <row r="18" spans="1:9" x14ac:dyDescent="0.2">
      <c r="A18">
        <v>2021</v>
      </c>
      <c r="B18" t="s">
        <v>9</v>
      </c>
      <c r="C18" t="s">
        <v>10</v>
      </c>
      <c r="D18" t="s">
        <v>11</v>
      </c>
      <c r="E18" t="s">
        <v>12</v>
      </c>
      <c r="F18" t="s">
        <v>13</v>
      </c>
      <c r="G18" t="s">
        <v>22</v>
      </c>
      <c r="H18" t="s">
        <v>16</v>
      </c>
      <c r="I18">
        <v>324810</v>
      </c>
    </row>
    <row r="19" spans="1:9" x14ac:dyDescent="0.2">
      <c r="A19">
        <v>2021</v>
      </c>
      <c r="B19" t="s">
        <v>9</v>
      </c>
      <c r="C19" t="s">
        <v>10</v>
      </c>
      <c r="D19" t="s">
        <v>11</v>
      </c>
      <c r="E19" t="s">
        <v>12</v>
      </c>
      <c r="F19" t="s">
        <v>13</v>
      </c>
      <c r="G19" t="s">
        <v>22</v>
      </c>
      <c r="H19" t="s">
        <v>17</v>
      </c>
      <c r="I19">
        <v>131085</v>
      </c>
    </row>
    <row r="20" spans="1:9" x14ac:dyDescent="0.2">
      <c r="A20">
        <v>2021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 t="s">
        <v>22</v>
      </c>
      <c r="H20" t="s">
        <v>18</v>
      </c>
      <c r="I20">
        <v>71430</v>
      </c>
    </row>
    <row r="21" spans="1:9" x14ac:dyDescent="0.2">
      <c r="A21">
        <v>2021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22</v>
      </c>
      <c r="H21" t="s">
        <v>19</v>
      </c>
      <c r="I21">
        <v>49295</v>
      </c>
    </row>
    <row r="22" spans="1:9" x14ac:dyDescent="0.2">
      <c r="A22">
        <v>2021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23</v>
      </c>
      <c r="H22" t="s">
        <v>15</v>
      </c>
      <c r="I22">
        <v>256275</v>
      </c>
    </row>
    <row r="23" spans="1:9" x14ac:dyDescent="0.2">
      <c r="A23">
        <v>2021</v>
      </c>
      <c r="B23" t="s">
        <v>9</v>
      </c>
      <c r="C23" t="s">
        <v>10</v>
      </c>
      <c r="D23" t="s">
        <v>11</v>
      </c>
      <c r="E23" t="s">
        <v>12</v>
      </c>
      <c r="F23" t="s">
        <v>13</v>
      </c>
      <c r="G23" t="s">
        <v>23</v>
      </c>
      <c r="H23" t="s">
        <v>16</v>
      </c>
      <c r="I23">
        <v>280060</v>
      </c>
    </row>
    <row r="24" spans="1:9" x14ac:dyDescent="0.2">
      <c r="A24">
        <v>2021</v>
      </c>
      <c r="B24" t="s">
        <v>9</v>
      </c>
      <c r="C24" t="s">
        <v>10</v>
      </c>
      <c r="D24" t="s">
        <v>11</v>
      </c>
      <c r="E24" t="s">
        <v>12</v>
      </c>
      <c r="F24" t="s">
        <v>13</v>
      </c>
      <c r="G24" t="s">
        <v>23</v>
      </c>
      <c r="H24" t="s">
        <v>17</v>
      </c>
      <c r="I24">
        <v>120410</v>
      </c>
    </row>
    <row r="25" spans="1:9" x14ac:dyDescent="0.2">
      <c r="A25">
        <v>2021</v>
      </c>
      <c r="B25" t="s">
        <v>9</v>
      </c>
      <c r="C25" t="s">
        <v>10</v>
      </c>
      <c r="D25" t="s">
        <v>11</v>
      </c>
      <c r="E25" t="s">
        <v>12</v>
      </c>
      <c r="F25" t="s">
        <v>13</v>
      </c>
      <c r="G25" t="s">
        <v>23</v>
      </c>
      <c r="H25" t="s">
        <v>18</v>
      </c>
      <c r="I25">
        <v>63915</v>
      </c>
    </row>
    <row r="26" spans="1:9" x14ac:dyDescent="0.2">
      <c r="A26">
        <v>2021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 t="s">
        <v>23</v>
      </c>
      <c r="H26" t="s">
        <v>19</v>
      </c>
      <c r="I26">
        <v>39345</v>
      </c>
    </row>
    <row r="27" spans="1:9" x14ac:dyDescent="0.2">
      <c r="A27">
        <v>2021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24</v>
      </c>
      <c r="H27" t="s">
        <v>15</v>
      </c>
      <c r="I27">
        <v>215960</v>
      </c>
    </row>
    <row r="28" spans="1:9" x14ac:dyDescent="0.2">
      <c r="A28">
        <v>2021</v>
      </c>
      <c r="B28" t="s">
        <v>9</v>
      </c>
      <c r="C28" t="s">
        <v>10</v>
      </c>
      <c r="D28" t="s">
        <v>11</v>
      </c>
      <c r="E28" t="s">
        <v>12</v>
      </c>
      <c r="F28" t="s">
        <v>13</v>
      </c>
      <c r="G28" t="s">
        <v>24</v>
      </c>
      <c r="H28" t="s">
        <v>16</v>
      </c>
      <c r="I28">
        <v>240465</v>
      </c>
    </row>
    <row r="29" spans="1:9" x14ac:dyDescent="0.2">
      <c r="A29">
        <v>2021</v>
      </c>
      <c r="B29" t="s">
        <v>9</v>
      </c>
      <c r="C29" t="s">
        <v>10</v>
      </c>
      <c r="D29" t="s">
        <v>11</v>
      </c>
      <c r="E29" t="s">
        <v>12</v>
      </c>
      <c r="F29" t="s">
        <v>13</v>
      </c>
      <c r="G29" t="s">
        <v>24</v>
      </c>
      <c r="H29" t="s">
        <v>17</v>
      </c>
      <c r="I29">
        <v>108340</v>
      </c>
    </row>
    <row r="30" spans="1:9" x14ac:dyDescent="0.2">
      <c r="A30">
        <v>2021</v>
      </c>
      <c r="B30" t="s">
        <v>9</v>
      </c>
      <c r="C30" t="s">
        <v>10</v>
      </c>
      <c r="D30" t="s">
        <v>11</v>
      </c>
      <c r="E30" t="s">
        <v>12</v>
      </c>
      <c r="F30" t="s">
        <v>13</v>
      </c>
      <c r="G30" t="s">
        <v>24</v>
      </c>
      <c r="H30" t="s">
        <v>18</v>
      </c>
      <c r="I30">
        <v>62585</v>
      </c>
    </row>
    <row r="31" spans="1:9" x14ac:dyDescent="0.2">
      <c r="A31">
        <v>2021</v>
      </c>
      <c r="B31" t="s">
        <v>9</v>
      </c>
      <c r="C31" t="s">
        <v>10</v>
      </c>
      <c r="D31" t="s">
        <v>11</v>
      </c>
      <c r="E31" t="s">
        <v>12</v>
      </c>
      <c r="F31" t="s">
        <v>13</v>
      </c>
      <c r="G31" t="s">
        <v>24</v>
      </c>
      <c r="H31" t="s">
        <v>19</v>
      </c>
      <c r="I31">
        <v>39330</v>
      </c>
    </row>
    <row r="32" spans="1:9" x14ac:dyDescent="0.2">
      <c r="A32">
        <v>2021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25</v>
      </c>
      <c r="H32" t="s">
        <v>15</v>
      </c>
      <c r="I32">
        <v>77450</v>
      </c>
    </row>
    <row r="33" spans="1:9" x14ac:dyDescent="0.2">
      <c r="A33">
        <v>2021</v>
      </c>
      <c r="B33" t="s">
        <v>9</v>
      </c>
      <c r="C33" t="s">
        <v>10</v>
      </c>
      <c r="D33" t="s">
        <v>11</v>
      </c>
      <c r="E33" t="s">
        <v>12</v>
      </c>
      <c r="F33" t="s">
        <v>13</v>
      </c>
      <c r="G33" t="s">
        <v>25</v>
      </c>
      <c r="H33" t="s">
        <v>16</v>
      </c>
      <c r="I33">
        <v>148435</v>
      </c>
    </row>
    <row r="34" spans="1:9" x14ac:dyDescent="0.2">
      <c r="A34">
        <v>2021</v>
      </c>
      <c r="B34" t="s">
        <v>9</v>
      </c>
      <c r="C34" t="s">
        <v>10</v>
      </c>
      <c r="D34" t="s">
        <v>11</v>
      </c>
      <c r="E34" t="s">
        <v>12</v>
      </c>
      <c r="F34" t="s">
        <v>13</v>
      </c>
      <c r="G34" t="s">
        <v>25</v>
      </c>
      <c r="H34" t="s">
        <v>17</v>
      </c>
      <c r="I34">
        <v>76255</v>
      </c>
    </row>
    <row r="35" spans="1:9" x14ac:dyDescent="0.2">
      <c r="A35">
        <v>2021</v>
      </c>
      <c r="B35" t="s">
        <v>9</v>
      </c>
      <c r="C35" t="s">
        <v>10</v>
      </c>
      <c r="D35" t="s">
        <v>11</v>
      </c>
      <c r="E35" t="s">
        <v>12</v>
      </c>
      <c r="F35" t="s">
        <v>13</v>
      </c>
      <c r="G35" t="s">
        <v>25</v>
      </c>
      <c r="H35" t="s">
        <v>18</v>
      </c>
      <c r="I35">
        <v>44390</v>
      </c>
    </row>
    <row r="36" spans="1:9" x14ac:dyDescent="0.2">
      <c r="A36">
        <v>2021</v>
      </c>
      <c r="B36" t="s">
        <v>9</v>
      </c>
      <c r="C36" t="s">
        <v>10</v>
      </c>
      <c r="D36" t="s">
        <v>11</v>
      </c>
      <c r="E36" t="s">
        <v>12</v>
      </c>
      <c r="F36" t="s">
        <v>13</v>
      </c>
      <c r="G36" t="s">
        <v>25</v>
      </c>
      <c r="H36" t="s">
        <v>19</v>
      </c>
      <c r="I36">
        <v>39170</v>
      </c>
    </row>
    <row r="37" spans="1:9" x14ac:dyDescent="0.2">
      <c r="A37">
        <v>2021</v>
      </c>
      <c r="B37" t="s">
        <v>26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  <c r="I37">
        <v>1299505</v>
      </c>
    </row>
    <row r="38" spans="1:9" x14ac:dyDescent="0.2">
      <c r="A38">
        <v>2021</v>
      </c>
      <c r="B38" t="s">
        <v>26</v>
      </c>
      <c r="C38" t="s">
        <v>10</v>
      </c>
      <c r="D38" t="s">
        <v>11</v>
      </c>
      <c r="E38" t="s">
        <v>12</v>
      </c>
      <c r="F38" t="s">
        <v>13</v>
      </c>
      <c r="G38" t="s">
        <v>14</v>
      </c>
      <c r="H38" t="s">
        <v>16</v>
      </c>
      <c r="I38">
        <v>1083140</v>
      </c>
    </row>
    <row r="39" spans="1:9" x14ac:dyDescent="0.2">
      <c r="A39">
        <v>2021</v>
      </c>
      <c r="B39" t="s">
        <v>26</v>
      </c>
      <c r="C39" t="s">
        <v>10</v>
      </c>
      <c r="D39" t="s">
        <v>11</v>
      </c>
      <c r="E39" t="s">
        <v>12</v>
      </c>
      <c r="F39" t="s">
        <v>13</v>
      </c>
      <c r="G39" t="s">
        <v>14</v>
      </c>
      <c r="H39" t="s">
        <v>17</v>
      </c>
      <c r="I39">
        <v>366650</v>
      </c>
    </row>
    <row r="40" spans="1:9" x14ac:dyDescent="0.2">
      <c r="A40">
        <v>2021</v>
      </c>
      <c r="B40" t="s">
        <v>26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18</v>
      </c>
      <c r="I40">
        <v>218465</v>
      </c>
    </row>
    <row r="41" spans="1:9" x14ac:dyDescent="0.2">
      <c r="A41">
        <v>2021</v>
      </c>
      <c r="B41" t="s">
        <v>26</v>
      </c>
      <c r="C41" t="s">
        <v>10</v>
      </c>
      <c r="D41" t="s">
        <v>11</v>
      </c>
      <c r="E41" t="s">
        <v>12</v>
      </c>
      <c r="F41" t="s">
        <v>13</v>
      </c>
      <c r="G41" t="s">
        <v>14</v>
      </c>
      <c r="H41" t="s">
        <v>19</v>
      </c>
      <c r="I41">
        <v>120770</v>
      </c>
    </row>
    <row r="42" spans="1:9" x14ac:dyDescent="0.2">
      <c r="A42">
        <v>2021</v>
      </c>
      <c r="B42" t="s">
        <v>26</v>
      </c>
      <c r="C42" t="s">
        <v>10</v>
      </c>
      <c r="D42" t="s">
        <v>11</v>
      </c>
      <c r="E42" t="s">
        <v>12</v>
      </c>
      <c r="F42" t="s">
        <v>13</v>
      </c>
      <c r="G42" t="s">
        <v>20</v>
      </c>
      <c r="H42" t="s">
        <v>15</v>
      </c>
      <c r="I42">
        <v>238870</v>
      </c>
    </row>
    <row r="43" spans="1:9" x14ac:dyDescent="0.2">
      <c r="A43">
        <v>2021</v>
      </c>
      <c r="B43" t="s">
        <v>26</v>
      </c>
      <c r="C43" t="s">
        <v>10</v>
      </c>
      <c r="D43" t="s">
        <v>11</v>
      </c>
      <c r="E43" t="s">
        <v>12</v>
      </c>
      <c r="F43" t="s">
        <v>13</v>
      </c>
      <c r="G43" t="s">
        <v>20</v>
      </c>
      <c r="H43" t="s">
        <v>16</v>
      </c>
      <c r="I43">
        <v>159540</v>
      </c>
    </row>
    <row r="44" spans="1:9" x14ac:dyDescent="0.2">
      <c r="A44">
        <v>2021</v>
      </c>
      <c r="B44" t="s">
        <v>26</v>
      </c>
      <c r="C44" t="s">
        <v>10</v>
      </c>
      <c r="D44" t="s">
        <v>11</v>
      </c>
      <c r="E44" t="s">
        <v>12</v>
      </c>
      <c r="F44" t="s">
        <v>13</v>
      </c>
      <c r="G44" t="s">
        <v>20</v>
      </c>
      <c r="H44" t="s">
        <v>17</v>
      </c>
      <c r="I44">
        <v>47470</v>
      </c>
    </row>
    <row r="45" spans="1:9" x14ac:dyDescent="0.2">
      <c r="A45">
        <v>2021</v>
      </c>
      <c r="B45" t="s">
        <v>26</v>
      </c>
      <c r="C45" t="s">
        <v>10</v>
      </c>
      <c r="D45" t="s">
        <v>11</v>
      </c>
      <c r="E45" t="s">
        <v>12</v>
      </c>
      <c r="F45" t="s">
        <v>13</v>
      </c>
      <c r="G45" t="s">
        <v>20</v>
      </c>
      <c r="H45" t="s">
        <v>18</v>
      </c>
      <c r="I45">
        <v>27710</v>
      </c>
    </row>
    <row r="46" spans="1:9" x14ac:dyDescent="0.2">
      <c r="A46">
        <v>2021</v>
      </c>
      <c r="B46" t="s">
        <v>26</v>
      </c>
      <c r="C46" t="s">
        <v>10</v>
      </c>
      <c r="D46" t="s">
        <v>11</v>
      </c>
      <c r="E46" t="s">
        <v>12</v>
      </c>
      <c r="F46" t="s">
        <v>13</v>
      </c>
      <c r="G46" t="s">
        <v>20</v>
      </c>
      <c r="H46" t="s">
        <v>19</v>
      </c>
      <c r="I46">
        <v>10515</v>
      </c>
    </row>
    <row r="47" spans="1:9" x14ac:dyDescent="0.2">
      <c r="A47">
        <v>2021</v>
      </c>
      <c r="B47" t="s">
        <v>26</v>
      </c>
      <c r="C47" t="s">
        <v>10</v>
      </c>
      <c r="D47" t="s">
        <v>11</v>
      </c>
      <c r="E47" t="s">
        <v>12</v>
      </c>
      <c r="F47" t="s">
        <v>13</v>
      </c>
      <c r="G47" t="s">
        <v>21</v>
      </c>
      <c r="H47" t="s">
        <v>15</v>
      </c>
      <c r="I47">
        <v>666785</v>
      </c>
    </row>
    <row r="48" spans="1:9" x14ac:dyDescent="0.2">
      <c r="A48">
        <v>2021</v>
      </c>
      <c r="B48" t="s">
        <v>26</v>
      </c>
      <c r="C48" t="s">
        <v>10</v>
      </c>
      <c r="D48" t="s">
        <v>11</v>
      </c>
      <c r="E48" t="s">
        <v>12</v>
      </c>
      <c r="F48" t="s">
        <v>13</v>
      </c>
      <c r="G48" t="s">
        <v>21</v>
      </c>
      <c r="H48" t="s">
        <v>16</v>
      </c>
      <c r="I48">
        <v>466535</v>
      </c>
    </row>
    <row r="49" spans="1:9" x14ac:dyDescent="0.2">
      <c r="A49">
        <v>2021</v>
      </c>
      <c r="B49" t="s">
        <v>26</v>
      </c>
      <c r="C49" t="s">
        <v>10</v>
      </c>
      <c r="D49" t="s">
        <v>11</v>
      </c>
      <c r="E49" t="s">
        <v>12</v>
      </c>
      <c r="F49" t="s">
        <v>13</v>
      </c>
      <c r="G49" t="s">
        <v>21</v>
      </c>
      <c r="H49" t="s">
        <v>17</v>
      </c>
      <c r="I49">
        <v>149585</v>
      </c>
    </row>
    <row r="50" spans="1:9" x14ac:dyDescent="0.2">
      <c r="A50">
        <v>2021</v>
      </c>
      <c r="B50" t="s">
        <v>26</v>
      </c>
      <c r="C50" t="s">
        <v>10</v>
      </c>
      <c r="D50" t="s">
        <v>11</v>
      </c>
      <c r="E50" t="s">
        <v>12</v>
      </c>
      <c r="F50" t="s">
        <v>13</v>
      </c>
      <c r="G50" t="s">
        <v>21</v>
      </c>
      <c r="H50" t="s">
        <v>18</v>
      </c>
      <c r="I50">
        <v>93055</v>
      </c>
    </row>
    <row r="51" spans="1:9" x14ac:dyDescent="0.2">
      <c r="A51">
        <v>2021</v>
      </c>
      <c r="B51" t="s">
        <v>26</v>
      </c>
      <c r="C51" t="s">
        <v>10</v>
      </c>
      <c r="D51" t="s">
        <v>11</v>
      </c>
      <c r="E51" t="s">
        <v>12</v>
      </c>
      <c r="F51" t="s">
        <v>13</v>
      </c>
      <c r="G51" t="s">
        <v>21</v>
      </c>
      <c r="H51" t="s">
        <v>19</v>
      </c>
      <c r="I51">
        <v>41235</v>
      </c>
    </row>
    <row r="52" spans="1:9" x14ac:dyDescent="0.2">
      <c r="A52">
        <v>2021</v>
      </c>
      <c r="B52" t="s">
        <v>26</v>
      </c>
      <c r="C52" t="s">
        <v>10</v>
      </c>
      <c r="D52" t="s">
        <v>11</v>
      </c>
      <c r="E52" t="s">
        <v>12</v>
      </c>
      <c r="F52" t="s">
        <v>13</v>
      </c>
      <c r="G52" t="s">
        <v>22</v>
      </c>
      <c r="H52" t="s">
        <v>15</v>
      </c>
      <c r="I52">
        <v>165130</v>
      </c>
    </row>
    <row r="53" spans="1:9" x14ac:dyDescent="0.2">
      <c r="A53">
        <v>2021</v>
      </c>
      <c r="B53" t="s">
        <v>26</v>
      </c>
      <c r="C53" t="s">
        <v>10</v>
      </c>
      <c r="D53" t="s">
        <v>11</v>
      </c>
      <c r="E53" t="s">
        <v>12</v>
      </c>
      <c r="F53" t="s">
        <v>13</v>
      </c>
      <c r="G53" t="s">
        <v>22</v>
      </c>
      <c r="H53" t="s">
        <v>16</v>
      </c>
      <c r="I53">
        <v>148975</v>
      </c>
    </row>
    <row r="54" spans="1:9" x14ac:dyDescent="0.2">
      <c r="A54">
        <v>2021</v>
      </c>
      <c r="B54" t="s">
        <v>26</v>
      </c>
      <c r="C54" t="s">
        <v>10</v>
      </c>
      <c r="D54" t="s">
        <v>11</v>
      </c>
      <c r="E54" t="s">
        <v>12</v>
      </c>
      <c r="F54" t="s">
        <v>13</v>
      </c>
      <c r="G54" t="s">
        <v>22</v>
      </c>
      <c r="H54" t="s">
        <v>17</v>
      </c>
      <c r="I54">
        <v>50000</v>
      </c>
    </row>
    <row r="55" spans="1:9" x14ac:dyDescent="0.2">
      <c r="A55">
        <v>2021</v>
      </c>
      <c r="B55" t="s">
        <v>26</v>
      </c>
      <c r="C55" t="s">
        <v>10</v>
      </c>
      <c r="D55" t="s">
        <v>11</v>
      </c>
      <c r="E55" t="s">
        <v>12</v>
      </c>
      <c r="F55" t="s">
        <v>13</v>
      </c>
      <c r="G55" t="s">
        <v>22</v>
      </c>
      <c r="H55" t="s">
        <v>18</v>
      </c>
      <c r="I55">
        <v>28860</v>
      </c>
    </row>
    <row r="56" spans="1:9" x14ac:dyDescent="0.2">
      <c r="A56">
        <v>2021</v>
      </c>
      <c r="B56" t="s">
        <v>26</v>
      </c>
      <c r="C56" t="s">
        <v>10</v>
      </c>
      <c r="D56" t="s">
        <v>11</v>
      </c>
      <c r="E56" t="s">
        <v>12</v>
      </c>
      <c r="F56" t="s">
        <v>13</v>
      </c>
      <c r="G56" t="s">
        <v>22</v>
      </c>
      <c r="H56" t="s">
        <v>19</v>
      </c>
      <c r="I56">
        <v>19960</v>
      </c>
    </row>
    <row r="57" spans="1:9" x14ac:dyDescent="0.2">
      <c r="A57">
        <v>2021</v>
      </c>
      <c r="B57" t="s">
        <v>26</v>
      </c>
      <c r="C57" t="s">
        <v>10</v>
      </c>
      <c r="D57" t="s">
        <v>11</v>
      </c>
      <c r="E57" t="s">
        <v>12</v>
      </c>
      <c r="F57" t="s">
        <v>13</v>
      </c>
      <c r="G57" t="s">
        <v>23</v>
      </c>
      <c r="H57" t="s">
        <v>15</v>
      </c>
      <c r="I57">
        <v>104150</v>
      </c>
    </row>
    <row r="58" spans="1:9" x14ac:dyDescent="0.2">
      <c r="A58">
        <v>2021</v>
      </c>
      <c r="B58" t="s">
        <v>26</v>
      </c>
      <c r="C58" t="s">
        <v>10</v>
      </c>
      <c r="D58" t="s">
        <v>11</v>
      </c>
      <c r="E58" t="s">
        <v>12</v>
      </c>
      <c r="F58" t="s">
        <v>13</v>
      </c>
      <c r="G58" t="s">
        <v>23</v>
      </c>
      <c r="H58" t="s">
        <v>16</v>
      </c>
      <c r="I58">
        <v>128295</v>
      </c>
    </row>
    <row r="59" spans="1:9" x14ac:dyDescent="0.2">
      <c r="A59">
        <v>2021</v>
      </c>
      <c r="B59" t="s">
        <v>26</v>
      </c>
      <c r="C59" t="s">
        <v>10</v>
      </c>
      <c r="D59" t="s">
        <v>11</v>
      </c>
      <c r="E59" t="s">
        <v>12</v>
      </c>
      <c r="F59" t="s">
        <v>13</v>
      </c>
      <c r="G59" t="s">
        <v>23</v>
      </c>
      <c r="H59" t="s">
        <v>17</v>
      </c>
      <c r="I59">
        <v>46745</v>
      </c>
    </row>
    <row r="60" spans="1:9" x14ac:dyDescent="0.2">
      <c r="A60">
        <v>2021</v>
      </c>
      <c r="B60" t="s">
        <v>26</v>
      </c>
      <c r="C60" t="s">
        <v>10</v>
      </c>
      <c r="D60" t="s">
        <v>11</v>
      </c>
      <c r="E60" t="s">
        <v>12</v>
      </c>
      <c r="F60" t="s">
        <v>13</v>
      </c>
      <c r="G60" t="s">
        <v>23</v>
      </c>
      <c r="H60" t="s">
        <v>18</v>
      </c>
      <c r="I60">
        <v>25420</v>
      </c>
    </row>
    <row r="61" spans="1:9" x14ac:dyDescent="0.2">
      <c r="A61">
        <v>2021</v>
      </c>
      <c r="B61" t="s">
        <v>26</v>
      </c>
      <c r="C61" t="s">
        <v>10</v>
      </c>
      <c r="D61" t="s">
        <v>11</v>
      </c>
      <c r="E61" t="s">
        <v>12</v>
      </c>
      <c r="F61" t="s">
        <v>13</v>
      </c>
      <c r="G61" t="s">
        <v>23</v>
      </c>
      <c r="H61" t="s">
        <v>19</v>
      </c>
      <c r="I61">
        <v>15785</v>
      </c>
    </row>
    <row r="62" spans="1:9" x14ac:dyDescent="0.2">
      <c r="A62">
        <v>2021</v>
      </c>
      <c r="B62" t="s">
        <v>26</v>
      </c>
      <c r="C62" t="s">
        <v>10</v>
      </c>
      <c r="D62" t="s">
        <v>11</v>
      </c>
      <c r="E62" t="s">
        <v>12</v>
      </c>
      <c r="F62" t="s">
        <v>13</v>
      </c>
      <c r="G62" t="s">
        <v>24</v>
      </c>
      <c r="H62" t="s">
        <v>15</v>
      </c>
      <c r="I62">
        <v>91560</v>
      </c>
    </row>
    <row r="63" spans="1:9" x14ac:dyDescent="0.2">
      <c r="A63">
        <v>2021</v>
      </c>
      <c r="B63" t="s">
        <v>26</v>
      </c>
      <c r="C63" t="s">
        <v>10</v>
      </c>
      <c r="D63" t="s">
        <v>11</v>
      </c>
      <c r="E63" t="s">
        <v>12</v>
      </c>
      <c r="F63" t="s">
        <v>13</v>
      </c>
      <c r="G63" t="s">
        <v>24</v>
      </c>
      <c r="H63" t="s">
        <v>16</v>
      </c>
      <c r="I63">
        <v>114910</v>
      </c>
    </row>
    <row r="64" spans="1:9" x14ac:dyDescent="0.2">
      <c r="A64">
        <v>2021</v>
      </c>
      <c r="B64" t="s">
        <v>26</v>
      </c>
      <c r="C64" t="s">
        <v>10</v>
      </c>
      <c r="D64" t="s">
        <v>11</v>
      </c>
      <c r="E64" t="s">
        <v>12</v>
      </c>
      <c r="F64" t="s">
        <v>13</v>
      </c>
      <c r="G64" t="s">
        <v>24</v>
      </c>
      <c r="H64" t="s">
        <v>17</v>
      </c>
      <c r="I64">
        <v>44085</v>
      </c>
    </row>
    <row r="65" spans="1:9" x14ac:dyDescent="0.2">
      <c r="A65">
        <v>2021</v>
      </c>
      <c r="B65" t="s">
        <v>26</v>
      </c>
      <c r="C65" t="s">
        <v>10</v>
      </c>
      <c r="D65" t="s">
        <v>11</v>
      </c>
      <c r="E65" t="s">
        <v>12</v>
      </c>
      <c r="F65" t="s">
        <v>13</v>
      </c>
      <c r="G65" t="s">
        <v>24</v>
      </c>
      <c r="H65" t="s">
        <v>18</v>
      </c>
      <c r="I65">
        <v>26345</v>
      </c>
    </row>
    <row r="66" spans="1:9" x14ac:dyDescent="0.2">
      <c r="A66">
        <v>2021</v>
      </c>
      <c r="B66" t="s">
        <v>26</v>
      </c>
      <c r="C66" t="s">
        <v>10</v>
      </c>
      <c r="D66" t="s">
        <v>11</v>
      </c>
      <c r="E66" t="s">
        <v>12</v>
      </c>
      <c r="F66" t="s">
        <v>13</v>
      </c>
      <c r="G66" t="s">
        <v>24</v>
      </c>
      <c r="H66" t="s">
        <v>19</v>
      </c>
      <c r="I66">
        <v>16780</v>
      </c>
    </row>
    <row r="67" spans="1:9" x14ac:dyDescent="0.2">
      <c r="A67">
        <v>2021</v>
      </c>
      <c r="B67" t="s">
        <v>26</v>
      </c>
      <c r="C67" t="s">
        <v>10</v>
      </c>
      <c r="D67" t="s">
        <v>11</v>
      </c>
      <c r="E67" t="s">
        <v>12</v>
      </c>
      <c r="F67" t="s">
        <v>13</v>
      </c>
      <c r="G67" t="s">
        <v>25</v>
      </c>
      <c r="H67" t="s">
        <v>15</v>
      </c>
      <c r="I67">
        <v>33015</v>
      </c>
    </row>
    <row r="68" spans="1:9" x14ac:dyDescent="0.2">
      <c r="A68">
        <v>2021</v>
      </c>
      <c r="B68" t="s">
        <v>26</v>
      </c>
      <c r="C68" t="s">
        <v>10</v>
      </c>
      <c r="D68" t="s">
        <v>11</v>
      </c>
      <c r="E68" t="s">
        <v>12</v>
      </c>
      <c r="F68" t="s">
        <v>13</v>
      </c>
      <c r="G68" t="s">
        <v>25</v>
      </c>
      <c r="H68" t="s">
        <v>16</v>
      </c>
      <c r="I68">
        <v>64885</v>
      </c>
    </row>
    <row r="69" spans="1:9" x14ac:dyDescent="0.2">
      <c r="A69">
        <v>2021</v>
      </c>
      <c r="B69" t="s">
        <v>26</v>
      </c>
      <c r="C69" t="s">
        <v>10</v>
      </c>
      <c r="D69" t="s">
        <v>11</v>
      </c>
      <c r="E69" t="s">
        <v>12</v>
      </c>
      <c r="F69" t="s">
        <v>13</v>
      </c>
      <c r="G69" t="s">
        <v>25</v>
      </c>
      <c r="H69" t="s">
        <v>17</v>
      </c>
      <c r="I69">
        <v>28770</v>
      </c>
    </row>
    <row r="70" spans="1:9" x14ac:dyDescent="0.2">
      <c r="A70">
        <v>2021</v>
      </c>
      <c r="B70" t="s">
        <v>26</v>
      </c>
      <c r="C70" t="s">
        <v>10</v>
      </c>
      <c r="D70" t="s">
        <v>11</v>
      </c>
      <c r="E70" t="s">
        <v>12</v>
      </c>
      <c r="F70" t="s">
        <v>13</v>
      </c>
      <c r="G70" t="s">
        <v>25</v>
      </c>
      <c r="H70" t="s">
        <v>18</v>
      </c>
      <c r="I70">
        <v>17075</v>
      </c>
    </row>
    <row r="71" spans="1:9" x14ac:dyDescent="0.2">
      <c r="A71">
        <v>2021</v>
      </c>
      <c r="B71" t="s">
        <v>26</v>
      </c>
      <c r="C71" t="s">
        <v>10</v>
      </c>
      <c r="D71" t="s">
        <v>11</v>
      </c>
      <c r="E71" t="s">
        <v>12</v>
      </c>
      <c r="F71" t="s">
        <v>13</v>
      </c>
      <c r="G71" t="s">
        <v>25</v>
      </c>
      <c r="H71" t="s">
        <v>19</v>
      </c>
      <c r="I71">
        <v>16490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immigrant_education_occupation_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Arellano Macedo</dc:creator>
  <cp:lastModifiedBy>Vanessa Arellano Macedo</cp:lastModifiedBy>
  <dcterms:created xsi:type="dcterms:W3CDTF">2026-06-19T22:16:38Z</dcterms:created>
  <dcterms:modified xsi:type="dcterms:W3CDTF">2026-06-19T23:30:10Z</dcterms:modified>
</cp:coreProperties>
</file>